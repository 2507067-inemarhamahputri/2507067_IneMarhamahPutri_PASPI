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keholder Map" sheetId="1" state="visible" r:id="rId3"/>
    <sheet name="Strategi Kuadran" sheetId="2" state="visible" r:id="rId4"/>
    <sheet name="Power-Interest Gri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<sst xmlns="http://schemas.openxmlformats.org/spreadsheetml/2006/main" count="153" uniqueCount="134">
  <si>
    <t xml:space="preserve">Stakeholder Analysis – Sistem Informasi Klinik Terintegrasi (Klinik Sehat Bersama)</t>
  </si>
  <si>
    <t xml:space="preserve">Mata kuliah: Rekayasa Arsitektur Basis Data | Skala Power &amp; Interest: 1 (sangat rendah) – 5 (sangat tinggi)</t>
  </si>
  <si>
    <t xml:space="preserve">Ambang High (≥)</t>
  </si>
  <si>
    <t xml:space="preserve">Nilai ≥ ambang dianggap High, di bawahnya Low. Kolom Power, Interest, dan ambang (sel biru) dapat diubah; posisi grid dan strategi umum akan terhitung ulang. Ambang 4 mengikuti contoh kasus e-learning pada modul (nilai 3 = Low, 4 = High).</t>
  </si>
  <si>
    <t xml:space="preserve">No</t>
  </si>
  <si>
    <t xml:space="preserve">Stakeholder</t>
  </si>
  <si>
    <t xml:space="preserve">Peran dalam Proyek</t>
  </si>
  <si>
    <t xml:space="preserve">Kebutuhan / Kepentingan</t>
  </si>
  <si>
    <t xml:space="preserve">Power (1–5)</t>
  </si>
  <si>
    <t xml:space="preserve">Interest (1–5)</t>
  </si>
  <si>
    <t xml:space="preserve">Alasan Nilai Power</t>
  </si>
  <si>
    <t xml:space="preserve">Alasan Nilai Interest</t>
  </si>
  <si>
    <t xml:space="preserve">Posisi pada Power–Interest Grid</t>
  </si>
  <si>
    <t xml:space="preserve">Strategi Umum (sesuai kuadran)</t>
  </si>
  <si>
    <t xml:space="preserve">Strategi Spesifik</t>
  </si>
  <si>
    <t xml:space="preserve">Sumber</t>
  </si>
  <si>
    <t xml:space="preserve">Pemilik Klinik</t>
  </si>
  <si>
    <t xml:space="preserve">Sponsor/penyandang dana; pemilik bisnis klinik</t>
  </si>
  <si>
    <t xml:space="preserve">Sistem meningkatkan kualitas pelayanan dan mendukung pengembangan bisnis</t>
  </si>
  <si>
    <t xml:space="preserve">Memegang keputusan akhir atas investasi, anggaran, dan kelanjutan proyek. Karena anggaran terbatas, Pemilik yang menentukan fitur mana yang didanai lebih dulu.</t>
  </si>
  <si>
    <t xml:space="preserve">Hasil proyek berdampak langsung pada reputasi dan pertumbuhan bisnis. Tidak diberi 5 karena tidak terlibat dalam operasional harian.</t>
  </si>
  <si>
    <t xml:space="preserve">Laporan ringkas berkala (progres, biaya, risiko); minta keputusan prioritas fitur (pendekatan bertahap/MVP) sesuai anggaran.</t>
  </si>
  <si>
    <t xml:space="preserve">Studi kasus</t>
  </si>
  <si>
    <t xml:space="preserve">Kepala Klinik</t>
  </si>
  <si>
    <t xml:space="preserve">Pemimpin proyek; penghubung manajemen dan tim proyek</t>
  </si>
  <si>
    <t xml:space="preserve">Sistem yang mengintegrasikan proses pelayanan dan menyediakan informasi untuk pengambilan keputusan</t>
  </si>
  <si>
    <t xml:space="preserve">Memimpin proyek: menetapkan ruang lingkup, jadwal, dan koordinasi seluruh pihak; keputusan operasional proyek ada di tangannya.</t>
  </si>
  <si>
    <t xml:space="preserve">Keberhasilan proyek menjadi tanggung jawab langsung, dan laporan manajemen dari sistem menjadi dasar keputusannya.</t>
  </si>
  <si>
    <t xml:space="preserve">Jadikan sebagai ketua steering committee; rapat progres mingguan; sepakati project charter dan jadwal sejak awal.</t>
  </si>
  <si>
    <t xml:space="preserve">Divisi IT</t>
  </si>
  <si>
    <t xml:space="preserve">Implementasi, keamanan, integrasi, dan pemeliharaan sistem</t>
  </si>
  <si>
    <t xml:space="preserve">Sistem aman, dapat diintegrasikan dengan aplikasi yang ada, dan mudah dipelihara</t>
  </si>
  <si>
    <t xml:space="preserve">Mengendalikan aspek teknis (integrasi, keamanan, hak akses, pemeliharaan). Tidak diberi 5 karena bukan pengambil keputusan anggaran dan strategi.</t>
  </si>
  <si>
    <t xml:space="preserve">Menanggung operasional sistem jangka panjang; masalah keamanan atau integrasi menjadi beban langsung divisi ini.</t>
  </si>
  <si>
    <t xml:space="preserve">Koordinasi intensif dengan vendor; libatkan sejak desain arsitektur, kebijakan hak akses (role-based), dan backup data.</t>
  </si>
  <si>
    <t xml:space="preserve">Dokter</t>
  </si>
  <si>
    <t xml:space="preserve">Pengguna utama: konsultasi, pemeriksaan, rekam medis, resep</t>
  </si>
  <si>
    <t xml:space="preserve">Akses cepat ke riwayat kesehatan pasien dan hasil pemeriksaan</t>
  </si>
  <si>
    <t xml:space="preserve">Otoritas klinis dan pengisi rekam medis. Jika dokter menolak atau tidak disiplin menggunakan sistem, data rekam medis tidak lengkap dan adopsi gagal. Tidak 5 karena tidak mengatur anggaran dan kebijakan proyek.</t>
  </si>
  <si>
    <t xml:space="preserve">Rekam medis dan pemeriksaan adalah inti pekerjaan harian; kualitas sistem langsung memengaruhi kecepatan dan ketepatan layanan.</t>
  </si>
  <si>
    <t xml:space="preserve">Libatkan perwakilan dokter dalam workshop kebutuhan rekam medis dan resep; uji coba (pilot); tampung masukan secara cepat.</t>
  </si>
  <si>
    <t xml:space="preserve">Perawat</t>
  </si>
  <si>
    <t xml:space="preserve">Pengguna: pencatatan tindakan dan kondisi pasien</t>
  </si>
  <si>
    <t xml:space="preserve">Sistem yang mudah digunakan untuk mencatat tindakan dan kondisi pasien</t>
  </si>
  <si>
    <t xml:space="preserve">Berpengaruh pada kelengkapan data klinis dan adopsi di lapangan, tetapi tidak menentukan keputusan proyek.</t>
  </si>
  <si>
    <t xml:space="preserve">Mencatat data setiap hari; cara kerja berubah dari manual ke digital sehingga butuh adaptasi dan pelatihan.</t>
  </si>
  <si>
    <t xml:space="preserve">Pelatihan bertahap, antarmuka sederhana, tunjuk 'super user' dari perawat, sediakan panduan singkat.</t>
  </si>
  <si>
    <t xml:space="preserve">Petugas Pendaftaran</t>
  </si>
  <si>
    <t xml:space="preserve">Pengguna: pendaftaran pasien dan pengelolaan data pasien</t>
  </si>
  <si>
    <t xml:space="preserve">Proses pendaftaran lebih cepat sehingga antrean berkurang</t>
  </si>
  <si>
    <t xml:space="preserve">Pengaruhnya terbatas pada modul pendaftaran; memberi masukan alur, tetapi bukan pengambil keputusan.</t>
  </si>
  <si>
    <t xml:space="preserve">Garda terdepan layanan; proses yang paling terasa berubah dari pencatatan manual, dan efisiensi langsung terlihat pada antrean.</t>
  </si>
  <si>
    <t xml:space="preserve">Uji coba alur pendaftaran (UAT), pelatihan, kanal masukan cepat selama masa awal penggunaan.</t>
  </si>
  <si>
    <t xml:space="preserve">Apoteker</t>
  </si>
  <si>
    <t xml:space="preserve">Pengelola resep dan stok obat</t>
  </si>
  <si>
    <t xml:space="preserve">Informasi resep yang akurat dan stok obat yang selalu diperbarui</t>
  </si>
  <si>
    <t xml:space="preserve">Menentukan kebutuhan modul farmasi dan validasi resep; bergantung pada integrasi dengan dokter, tetapi tidak menentukan arah proyek.</t>
  </si>
  <si>
    <t xml:space="preserve">Kesalahan resep atau stok berdampak langsung pada keselamatan pasien dan operasional farmasi; dampak terpusat di modul farmasi, sehingga 4.</t>
  </si>
  <si>
    <t xml:space="preserve">Validasi alur resep-ke-stok bersama apoteker; UAT modul farmasi; informasikan jadwal rilis fitur stok.</t>
  </si>
  <si>
    <t xml:space="preserve">Petugas Kasir/Keuangan</t>
  </si>
  <si>
    <t xml:space="preserve">Pengguna: pembayaran dan laporan transaksi</t>
  </si>
  <si>
    <t xml:space="preserve">Pencatatan pembayaran dan laporan transaksi yang akurat</t>
  </si>
  <si>
    <t xml:space="preserve">Menentukan kebutuhan modul pembayaran dan laporan keuangan, tetapi tidak memegang kendali anggaran proyek.</t>
  </si>
  <si>
    <t xml:space="preserve">Akurasi transaksi dan laporan adalah tugas utamanya; hasil proyek langsung memengaruhi pekerjaannya.</t>
  </si>
  <si>
    <t xml:space="preserve">UAT modul pembayaran, uji rekonsiliasi laporan transaksi, pelatihan, dan kanal pelaporan masalah.</t>
  </si>
  <si>
    <t xml:space="preserve">Vendor Pengembang</t>
  </si>
  <si>
    <t xml:space="preserve">Pihak eksternal yang membangun dan menyesuaikan sistem</t>
  </si>
  <si>
    <t xml:space="preserve">Kebutuhan dan ruang lingkup yang jelas, jadwal realistis, dan pembayaran kontrak</t>
  </si>
  <si>
    <t xml:space="preserve">Memegang kendali teknis pengembangan, kualitas, dan jadwal; klinik bergantung pada vendor untuk hasil akhir.</t>
  </si>
  <si>
    <t xml:space="preserve">Berkepentingan pada penyelesaian kontrak dan reputasi, tetapi tidak terdampak langsung oleh operasional klinik; diasumsikan juga menangani proyek lain.</t>
  </si>
  <si>
    <t xml:space="preserve">Kontrak dan SLA yang jelas, pelaporan milestone, kontrol perubahan kebutuhan (change request), jaga hubungan baik.</t>
  </si>
  <si>
    <t xml:space="preserve">Pasien</t>
  </si>
  <si>
    <t xml:space="preserve">Pengguna layanan (eksternal)</t>
  </si>
  <si>
    <t xml:space="preserve">Pendaftaran dan pelayanan lebih cepat, informasi akurat, data pribadi terjaga</t>
  </si>
  <si>
    <t xml:space="preserve">Tidak ikut memutuskan proyek; pengaruhnya tidak langsung melalui kepuasan, keluhan, atau pindah ke klinik lain.</t>
  </si>
  <si>
    <t xml:space="preserve">Pengalaman layanan dan pengelolaan data kesehatannya dipengaruhi langsung oleh sistem, tetapi tidak terlibat dalam kegiatan proyek.</t>
  </si>
  <si>
    <t xml:space="preserve">Survei kepuasan, pengumuman perubahan layanan, kanal keluhan, dan informasi singkat tentang perlindungan data.</t>
  </si>
  <si>
    <t xml:space="preserve">Regulator (Otoritas Kesehatan &amp; Pelindungan Data)</t>
  </si>
  <si>
    <t xml:space="preserve">Pihak eksternal pengawas kepatuhan rekam medis dan data pribadi</t>
  </si>
  <si>
    <t xml:space="preserve">Sistem memenuhi kewajiban pencatatan rekam medis dan pelindungan data pribadi pasien</t>
  </si>
  <si>
    <t xml:space="preserve">Dapat memberi sanksi atau memengaruhi izin operasional bila sistem melanggar ketentuan rekam medis dan pelindungan data.</t>
  </si>
  <si>
    <t xml:space="preserve">Tidak peduli pada proyek ini secara khusus; baru berkepentingan saat ada audit, inspeksi, atau pelanggaran.</t>
  </si>
  <si>
    <t xml:space="preserve">Susun checklist kepatuhan sejak desain (audit log, hak akses, retensi data); verifikasi ketentuan terbaru sebelum implementasi.</t>
  </si>
  <si>
    <t xml:space="preserve">Tambahan analisis</t>
  </si>
  <si>
    <t xml:space="preserve">Supplier Obat</t>
  </si>
  <si>
    <t xml:space="preserve">Pemasok obat (eksternal)</t>
  </si>
  <si>
    <t xml:space="preserve">Pemesanan yang teratur dan pembayaran tepat waktu</t>
  </si>
  <si>
    <t xml:space="preserve">Memengaruhi ketersediaan obat, tetapi tidak memengaruhi keputusan atau jalannya proyek sistem.</t>
  </si>
  <si>
    <t xml:space="preserve">Dampak tidak langsung; hanya akan merasakan perubahan jika pemesanan terhubung dengan data stok.</t>
  </si>
  <si>
    <t xml:space="preserve">Pantau saja; informasikan bila ada perubahan format pemesanan akibat sistem stok baru.</t>
  </si>
  <si>
    <t xml:space="preserve">Catatan: Stakeholder bersumber 'Studi kasus' berasal langsung dari teks kasus; 'Tambahan analisis' (Regulator dan Supplier Obat) adalah asumsi penulis berdasarkan konteks (data pasien, pengelolaan stok obat) dan dapat dihapus bila tidak dikehendaki. Semua nilai Power/Interest adalah penilaian subjektif berdasarkan argumentasi pada kolom alasan.</t>
  </si>
  <si>
    <t xml:space="preserve">Strategi Pengelolaan Stakeholder per Kuadran</t>
  </si>
  <si>
    <t xml:space="preserve">Jumlah stakeholder dihitung otomatis dari sheet Stakeholder Map; daftar nama stakeholder diketik sesuai hasil saat ini.</t>
  </si>
  <si>
    <t xml:space="preserve">Kuadran</t>
  </si>
  <si>
    <t xml:space="preserve">Kriteria</t>
  </si>
  <si>
    <t xml:space="preserve">Kategori (Mendelow)</t>
  </si>
  <si>
    <t xml:space="preserve">Strategi</t>
  </si>
  <si>
    <t xml:space="preserve">Jumlah Stakeholder</t>
  </si>
  <si>
    <t xml:space="preserve">Bentuk &amp; Frekuensi Komunikasi</t>
  </si>
  <si>
    <t xml:space="preserve">Kelola Secara Dekat</t>
  </si>
  <si>
    <t xml:space="preserve">Power ≥ 4 dan Interest ≥ 4</t>
  </si>
  <si>
    <t xml:space="preserve">High Power – High Interest (Manage Closely)</t>
  </si>
  <si>
    <t xml:space="preserve">Libatkan secara intensif dalam pengambilan keputusan, desain, dan pengujian; komunikasi dua arah dan sering.</t>
  </si>
  <si>
    <t xml:space="preserve">Pemilik Klinik, Kepala Klinik, Divisi IT, Dokter</t>
  </si>
  <si>
    <t xml:space="preserve">Rapat mingguan/dua mingguan, steering committee, workshop kebutuhan, review progres dan risiko</t>
  </si>
  <si>
    <t xml:space="preserve">Jaga Kepuasan</t>
  </si>
  <si>
    <t xml:space="preserve">Power ≥ 4 dan Interest ≤ 3</t>
  </si>
  <si>
    <t xml:space="preserve">High Power – Low Interest (Keep Satisfied)</t>
  </si>
  <si>
    <t xml:space="preserve">Pastikan harapan mereka terpenuhi tanpa membebani dengan informasi detail; hindari kejutan.</t>
  </si>
  <si>
    <t xml:space="preserve">Vendor Pengembang, Regulator</t>
  </si>
  <si>
    <t xml:space="preserve">Laporan milestone ringkas, SLA/kontrak, checklist kepatuhan, pertemuan berkala saat milestone</t>
  </si>
  <si>
    <t xml:space="preserve">Libatkan &amp; Komunikasi Rutin</t>
  </si>
  <si>
    <t xml:space="preserve">Power ≤ 3 dan Interest ≥ 4</t>
  </si>
  <si>
    <t xml:space="preserve">Low Power – High Interest (Keep Informed)</t>
  </si>
  <si>
    <t xml:space="preserve">Beri informasi rutin, pelatihan, dan ruang masukan; mereka pendukung adopsi dan sumber kebutuhan pengguna.</t>
  </si>
  <si>
    <t xml:space="preserve">Perawat, Petugas Pendaftaran, Apoteker, Petugas Kasir/Keuangan, Pasien</t>
  </si>
  <si>
    <t xml:space="preserve">Pelatihan, UAT/pilot, kanal feedback, pengumuman perubahan, super user</t>
  </si>
  <si>
    <t xml:space="preserve">Cukup Dimonitor</t>
  </si>
  <si>
    <t xml:space="preserve">Power ≤ 3 dan Interest ≤ 3</t>
  </si>
  <si>
    <t xml:space="preserve">Low Power – Low Interest (Monitor)</t>
  </si>
  <si>
    <t xml:space="preserve">Pantau dengan usaha minimal; naikkan prioritas bila posisinya berubah.</t>
  </si>
  <si>
    <t xml:space="preserve">Pemberitahuan seperlunya, tinjau posisi pada setiap fase proyek</t>
  </si>
  <si>
    <t xml:space="preserve">Total</t>
  </si>
  <si>
    <t xml:space="preserve">Power–Interest Grid – Sistem Informasi Klinik</t>
  </si>
  <si>
    <t xml:space="preserve">Sumbu vertikal = Power, sumbu horizontal = Interest. Penempatan nama mengikuti nilai pada sheet Stakeholder Map (nilai saat ini).</t>
  </si>
  <si>
    <t xml:space="preserve">POWER ↑</t>
  </si>
  <si>
    <t xml:space="preserve">Regulator</t>
  </si>
  <si>
    <t xml:space="preserve">Divisi IT
Dokter</t>
  </si>
  <si>
    <t xml:space="preserve">Apoteker
Petugas Kasir/Keuangan</t>
  </si>
  <si>
    <t xml:space="preserve">INTEREST →</t>
  </si>
  <si>
    <t xml:space="preserve">High Power – High Interest (Manage Closely) → Kelola Secara Dekat</t>
  </si>
  <si>
    <t xml:space="preserve">High Power – Low Interest (Keep Satisfied) → Jaga Kepuasan</t>
  </si>
  <si>
    <t xml:space="preserve">Low Power – High Interest (Keep Informed) → Libatkan &amp; Komunikasi Rutin</t>
  </si>
  <si>
    <t xml:space="preserve">Low Power – Low Interest (Monitor) → Cukup Dimonitor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</si>
</sst>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D9D9D9"/>
      </patternFill>
    </fill>
    <fill>
      <patternFill patternType="solid">
        <fgColor rgb="FFD9D9D9"/>
        <bgColor rgb="FFC6E0B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8" min="7" style="0" width="48"/>
    <col collapsed="false" customWidth="true" hidden="false" outlineLevel="0" max="9" min="9" style="0" width="22"/>
    <col collapsed="false" customWidth="true" hidden="false" outlineLevel="0" max="10" min="10" style="0" width="40"/>
    <col collapsed="false" customWidth="true" hidden="false" outlineLevel="0" max="11" min="11" style="0" width="42"/>
    <col collapsed="false" customWidth="true" hidden="false" outlineLevel="0" max="12" min="1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39.75" hidden="false" customHeight="true" outlineLevel="0" collapsed="false">
      <c r="A3" s="3" t="s">
        <v>2</v>
      </c>
      <c r="B3" s="4" t="n">
        <v>4</v>
      </c>
      <c r="C3" s="5" t="s">
        <v>3</v>
      </c>
      <c r="D3" s="5"/>
      <c r="E3" s="5"/>
      <c r="F3" s="5"/>
      <c r="G3" s="5"/>
      <c r="H3" s="5"/>
    </row>
    <row r="5" customFormat="false" ht="31.5" hidden="false" customHeight="true" outlineLevel="0" collapsed="false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  <c r="L5" s="6" t="s">
        <v>15</v>
      </c>
    </row>
    <row r="6" customFormat="false" ht="105" hidden="false" customHeight="true" outlineLevel="0" collapsed="false">
      <c r="A6" s="7" t="n">
        <v>1</v>
      </c>
      <c r="B6" s="8" t="s">
        <v>16</v>
      </c>
      <c r="C6" s="9" t="s">
        <v>17</v>
      </c>
      <c r="D6" s="9" t="s">
        <v>18</v>
      </c>
      <c r="E6" s="10" t="n">
        <v>5</v>
      </c>
      <c r="F6" s="10" t="n">
        <v>4</v>
      </c>
      <c r="G6" s="9" t="s">
        <v>19</v>
      </c>
      <c r="H6" s="9" t="s">
        <v>20</v>
      </c>
      <c r="I6" s="8" t="str">
        <f aca="false">IF(AND(E6&gt;=$B$3,F6&gt;=$B$3),"Kelola Secara Dekat",IF(E6&gt;=$B$3,"Jaga Kepuasan",IF(F6&gt;=$B$3,"Libatkan &amp; Komunikasi Rutin","Cukup Dimonitor")))</f>
        <v>Kelola Secara Dekat</v>
      </c>
      <c r="J6" s="9" t="str">
        <f aca="false">INDEX('Strategi Kuadran'!$D$5:$D$8,MATCH(I6,'Strategi Kuadran'!$A$5:$A$8,0))</f>
        <v>Libatkan secara intensif dalam pengambilan keputusan, desain, dan pengujian; komunikasi dua arah dan sering.</v>
      </c>
      <c r="K6" s="9" t="s">
        <v>21</v>
      </c>
      <c r="L6" s="9" t="s">
        <v>22</v>
      </c>
    </row>
    <row r="7" customFormat="false" ht="105" hidden="false" customHeight="true" outlineLevel="0" collapsed="false">
      <c r="A7" s="7" t="n">
        <v>2</v>
      </c>
      <c r="B7" s="8" t="s">
        <v>23</v>
      </c>
      <c r="C7" s="9" t="s">
        <v>24</v>
      </c>
      <c r="D7" s="9" t="s">
        <v>25</v>
      </c>
      <c r="E7" s="10" t="n">
        <v>5</v>
      </c>
      <c r="F7" s="10" t="n">
        <v>5</v>
      </c>
      <c r="G7" s="9" t="s">
        <v>26</v>
      </c>
      <c r="H7" s="9" t="s">
        <v>27</v>
      </c>
      <c r="I7" s="8" t="str">
        <f aca="false">IF(AND(E7&gt;=$B$3,F7&gt;=$B$3),"Kelola Secara Dekat",IF(E7&gt;=$B$3,"Jaga Kepuasan",IF(F7&gt;=$B$3,"Libatkan &amp; Komunikasi Rutin","Cukup Dimonitor")))</f>
        <v>Kelola Secara Dekat</v>
      </c>
      <c r="J7" s="9" t="str">
        <f aca="false">INDEX('Strategi Kuadran'!$D$5:$D$8,MATCH(I7,'Strategi Kuadran'!$A$5:$A$8,0))</f>
        <v>Libatkan secara intensif dalam pengambilan keputusan, desain, dan pengujian; komunikasi dua arah dan sering.</v>
      </c>
      <c r="K7" s="9" t="s">
        <v>28</v>
      </c>
      <c r="L7" s="9" t="s">
        <v>22</v>
      </c>
    </row>
    <row r="8" customFormat="false" ht="105" hidden="false" customHeight="true" outlineLevel="0" collapsed="false">
      <c r="A8" s="7" t="n">
        <v>3</v>
      </c>
      <c r="B8" s="8" t="s">
        <v>29</v>
      </c>
      <c r="C8" s="9" t="s">
        <v>30</v>
      </c>
      <c r="D8" s="9" t="s">
        <v>31</v>
      </c>
      <c r="E8" s="10" t="n">
        <v>4</v>
      </c>
      <c r="F8" s="10" t="n">
        <v>5</v>
      </c>
      <c r="G8" s="9" t="s">
        <v>32</v>
      </c>
      <c r="H8" s="9" t="s">
        <v>33</v>
      </c>
      <c r="I8" s="8" t="str">
        <f aca="false">IF(AND(E8&gt;=$B$3,F8&gt;=$B$3),"Kelola Secara Dekat",IF(E8&gt;=$B$3,"Jaga Kepuasan",IF(F8&gt;=$B$3,"Libatkan &amp; Komunikasi Rutin","Cukup Dimonitor")))</f>
        <v>Kelola Secara Dekat</v>
      </c>
      <c r="J8" s="9" t="str">
        <f aca="false">INDEX('Strategi Kuadran'!$D$5:$D$8,MATCH(I8,'Strategi Kuadran'!$A$5:$A$8,0))</f>
        <v>Libatkan secara intensif dalam pengambilan keputusan, desain, dan pengujian; komunikasi dua arah dan sering.</v>
      </c>
      <c r="K8" s="9" t="s">
        <v>34</v>
      </c>
      <c r="L8" s="9" t="s">
        <v>22</v>
      </c>
    </row>
    <row r="9" customFormat="false" ht="105" hidden="false" customHeight="true" outlineLevel="0" collapsed="false">
      <c r="A9" s="7" t="n">
        <v>4</v>
      </c>
      <c r="B9" s="8" t="s">
        <v>35</v>
      </c>
      <c r="C9" s="9" t="s">
        <v>36</v>
      </c>
      <c r="D9" s="9" t="s">
        <v>37</v>
      </c>
      <c r="E9" s="10" t="n">
        <v>4</v>
      </c>
      <c r="F9" s="10" t="n">
        <v>5</v>
      </c>
      <c r="G9" s="9" t="s">
        <v>38</v>
      </c>
      <c r="H9" s="9" t="s">
        <v>39</v>
      </c>
      <c r="I9" s="8" t="str">
        <f aca="false">IF(AND(E9&gt;=$B$3,F9&gt;=$B$3),"Kelola Secara Dekat",IF(E9&gt;=$B$3,"Jaga Kepuasan",IF(F9&gt;=$B$3,"Libatkan &amp; Komunikasi Rutin","Cukup Dimonitor")))</f>
        <v>Kelola Secara Dekat</v>
      </c>
      <c r="J9" s="9" t="str">
        <f aca="false">INDEX('Strategi Kuadran'!$D$5:$D$8,MATCH(I9,'Strategi Kuadran'!$A$5:$A$8,0))</f>
        <v>Libatkan secara intensif dalam pengambilan keputusan, desain, dan pengujian; komunikasi dua arah dan sering.</v>
      </c>
      <c r="K9" s="9" t="s">
        <v>40</v>
      </c>
      <c r="L9" s="9" t="s">
        <v>22</v>
      </c>
    </row>
    <row r="10" customFormat="false" ht="105" hidden="false" customHeight="true" outlineLevel="0" collapsed="false">
      <c r="A10" s="7" t="n">
        <v>5</v>
      </c>
      <c r="B10" s="8" t="s">
        <v>41</v>
      </c>
      <c r="C10" s="9" t="s">
        <v>42</v>
      </c>
      <c r="D10" s="9" t="s">
        <v>43</v>
      </c>
      <c r="E10" s="10" t="n">
        <v>3</v>
      </c>
      <c r="F10" s="10" t="n">
        <v>5</v>
      </c>
      <c r="G10" s="9" t="s">
        <v>44</v>
      </c>
      <c r="H10" s="9" t="s">
        <v>45</v>
      </c>
      <c r="I10" s="8" t="str">
        <f aca="false">IF(AND(E10&gt;=$B$3,F10&gt;=$B$3),"Kelola Secara Dekat",IF(E10&gt;=$B$3,"Jaga Kepuasan",IF(F10&gt;=$B$3,"Libatkan &amp; Komunikasi Rutin","Cukup Dimonitor")))</f>
        <v>Libatkan &amp; Komunikasi Rutin</v>
      </c>
      <c r="J10" s="9" t="str">
        <f aca="false">INDEX('Strategi Kuadran'!$D$5:$D$8,MATCH(I10,'Strategi Kuadran'!$A$5:$A$8,0))</f>
        <v>Beri informasi rutin, pelatihan, dan ruang masukan; mereka pendukung adopsi dan sumber kebutuhan pengguna.</v>
      </c>
      <c r="K10" s="9" t="s">
        <v>46</v>
      </c>
      <c r="L10" s="9" t="s">
        <v>22</v>
      </c>
    </row>
    <row r="11" customFormat="false" ht="105" hidden="false" customHeight="true" outlineLevel="0" collapsed="false">
      <c r="A11" s="7" t="n">
        <v>6</v>
      </c>
      <c r="B11" s="8" t="s">
        <v>47</v>
      </c>
      <c r="C11" s="9" t="s">
        <v>48</v>
      </c>
      <c r="D11" s="9" t="s">
        <v>49</v>
      </c>
      <c r="E11" s="10" t="n">
        <v>2</v>
      </c>
      <c r="F11" s="10" t="n">
        <v>5</v>
      </c>
      <c r="G11" s="9" t="s">
        <v>50</v>
      </c>
      <c r="H11" s="9" t="s">
        <v>51</v>
      </c>
      <c r="I11" s="8" t="str">
        <f aca="false">IF(AND(E11&gt;=$B$3,F11&gt;=$B$3),"Kelola Secara Dekat",IF(E11&gt;=$B$3,"Jaga Kepuasan",IF(F11&gt;=$B$3,"Libatkan &amp; Komunikasi Rutin","Cukup Dimonitor")))</f>
        <v>Libatkan &amp; Komunikasi Rutin</v>
      </c>
      <c r="J11" s="9" t="str">
        <f aca="false">INDEX('Strategi Kuadran'!$D$5:$D$8,MATCH(I11,'Strategi Kuadran'!$A$5:$A$8,0))</f>
        <v>Beri informasi rutin, pelatihan, dan ruang masukan; mereka pendukung adopsi dan sumber kebutuhan pengguna.</v>
      </c>
      <c r="K11" s="9" t="s">
        <v>52</v>
      </c>
      <c r="L11" s="9" t="s">
        <v>22</v>
      </c>
    </row>
    <row r="12" customFormat="false" ht="105" hidden="false" customHeight="true" outlineLevel="0" collapsed="false">
      <c r="A12" s="7" t="n">
        <v>7</v>
      </c>
      <c r="B12" s="8" t="s">
        <v>53</v>
      </c>
      <c r="C12" s="9" t="s">
        <v>54</v>
      </c>
      <c r="D12" s="9" t="s">
        <v>55</v>
      </c>
      <c r="E12" s="10" t="n">
        <v>3</v>
      </c>
      <c r="F12" s="10" t="n">
        <v>4</v>
      </c>
      <c r="G12" s="9" t="s">
        <v>56</v>
      </c>
      <c r="H12" s="9" t="s">
        <v>57</v>
      </c>
      <c r="I12" s="8" t="str">
        <f aca="false">IF(AND(E12&gt;=$B$3,F12&gt;=$B$3),"Kelola Secara Dekat",IF(E12&gt;=$B$3,"Jaga Kepuasan",IF(F12&gt;=$B$3,"Libatkan &amp; Komunikasi Rutin","Cukup Dimonitor")))</f>
        <v>Libatkan &amp; Komunikasi Rutin</v>
      </c>
      <c r="J12" s="9" t="str">
        <f aca="false">INDEX('Strategi Kuadran'!$D$5:$D$8,MATCH(I12,'Strategi Kuadran'!$A$5:$A$8,0))</f>
        <v>Beri informasi rutin, pelatihan, dan ruang masukan; mereka pendukung adopsi dan sumber kebutuhan pengguna.</v>
      </c>
      <c r="K12" s="9" t="s">
        <v>58</v>
      </c>
      <c r="L12" s="9" t="s">
        <v>22</v>
      </c>
    </row>
    <row r="13" customFormat="false" ht="105" hidden="false" customHeight="true" outlineLevel="0" collapsed="false">
      <c r="A13" s="7" t="n">
        <v>8</v>
      </c>
      <c r="B13" s="8" t="s">
        <v>59</v>
      </c>
      <c r="C13" s="9" t="s">
        <v>60</v>
      </c>
      <c r="D13" s="9" t="s">
        <v>61</v>
      </c>
      <c r="E13" s="10" t="n">
        <v>3</v>
      </c>
      <c r="F13" s="10" t="n">
        <v>4</v>
      </c>
      <c r="G13" s="9" t="s">
        <v>62</v>
      </c>
      <c r="H13" s="9" t="s">
        <v>63</v>
      </c>
      <c r="I13" s="8" t="str">
        <f aca="false">IF(AND(E13&gt;=$B$3,F13&gt;=$B$3),"Kelola Secara Dekat",IF(E13&gt;=$B$3,"Jaga Kepuasan",IF(F13&gt;=$B$3,"Libatkan &amp; Komunikasi Rutin","Cukup Dimonitor")))</f>
        <v>Libatkan &amp; Komunikasi Rutin</v>
      </c>
      <c r="J13" s="9" t="str">
        <f aca="false">INDEX('Strategi Kuadran'!$D$5:$D$8,MATCH(I13,'Strategi Kuadran'!$A$5:$A$8,0))</f>
        <v>Beri informasi rutin, pelatihan, dan ruang masukan; mereka pendukung adopsi dan sumber kebutuhan pengguna.</v>
      </c>
      <c r="K13" s="9" t="s">
        <v>64</v>
      </c>
      <c r="L13" s="9" t="s">
        <v>22</v>
      </c>
    </row>
    <row r="14" customFormat="false" ht="105" hidden="false" customHeight="true" outlineLevel="0" collapsed="false">
      <c r="A14" s="7" t="n">
        <v>9</v>
      </c>
      <c r="B14" s="8" t="s">
        <v>65</v>
      </c>
      <c r="C14" s="9" t="s">
        <v>66</v>
      </c>
      <c r="D14" s="9" t="s">
        <v>67</v>
      </c>
      <c r="E14" s="10" t="n">
        <v>4</v>
      </c>
      <c r="F14" s="10" t="n">
        <v>3</v>
      </c>
      <c r="G14" s="9" t="s">
        <v>68</v>
      </c>
      <c r="H14" s="9" t="s">
        <v>69</v>
      </c>
      <c r="I14" s="8" t="str">
        <f aca="false">IF(AND(E14&gt;=$B$3,F14&gt;=$B$3),"Kelola Secara Dekat",IF(E14&gt;=$B$3,"Jaga Kepuasan",IF(F14&gt;=$B$3,"Libatkan &amp; Komunikasi Rutin","Cukup Dimonitor")))</f>
        <v>Jaga Kepuasan</v>
      </c>
      <c r="J14" s="9" t="str">
        <f aca="false">INDEX('Strategi Kuadran'!$D$5:$D$8,MATCH(I14,'Strategi Kuadran'!$A$5:$A$8,0))</f>
        <v>Pastikan harapan mereka terpenuhi tanpa membebani dengan informasi detail; hindari kejutan.</v>
      </c>
      <c r="K14" s="9" t="s">
        <v>70</v>
      </c>
      <c r="L14" s="9" t="s">
        <v>22</v>
      </c>
    </row>
    <row r="15" customFormat="false" ht="105" hidden="false" customHeight="true" outlineLevel="0" collapsed="false">
      <c r="A15" s="7" t="n">
        <v>10</v>
      </c>
      <c r="B15" s="8" t="s">
        <v>71</v>
      </c>
      <c r="C15" s="9" t="s">
        <v>72</v>
      </c>
      <c r="D15" s="9" t="s">
        <v>73</v>
      </c>
      <c r="E15" s="10" t="n">
        <v>2</v>
      </c>
      <c r="F15" s="10" t="n">
        <v>4</v>
      </c>
      <c r="G15" s="9" t="s">
        <v>74</v>
      </c>
      <c r="H15" s="9" t="s">
        <v>75</v>
      </c>
      <c r="I15" s="8" t="str">
        <f aca="false">IF(AND(E15&gt;=$B$3,F15&gt;=$B$3),"Kelola Secara Dekat",IF(E15&gt;=$B$3,"Jaga Kepuasan",IF(F15&gt;=$B$3,"Libatkan &amp; Komunikasi Rutin","Cukup Dimonitor")))</f>
        <v>Libatkan &amp; Komunikasi Rutin</v>
      </c>
      <c r="J15" s="9" t="str">
        <f aca="false">INDEX('Strategi Kuadran'!$D$5:$D$8,MATCH(I15,'Strategi Kuadran'!$A$5:$A$8,0))</f>
        <v>Beri informasi rutin, pelatihan, dan ruang masukan; mereka pendukung adopsi dan sumber kebutuhan pengguna.</v>
      </c>
      <c r="K15" s="9" t="s">
        <v>76</v>
      </c>
      <c r="L15" s="9" t="s">
        <v>22</v>
      </c>
    </row>
    <row r="16" customFormat="false" ht="105" hidden="false" customHeight="true" outlineLevel="0" collapsed="false">
      <c r="A16" s="7" t="n">
        <v>11</v>
      </c>
      <c r="B16" s="8" t="s">
        <v>77</v>
      </c>
      <c r="C16" s="9" t="s">
        <v>78</v>
      </c>
      <c r="D16" s="9" t="s">
        <v>79</v>
      </c>
      <c r="E16" s="10" t="n">
        <v>4</v>
      </c>
      <c r="F16" s="10" t="n">
        <v>2</v>
      </c>
      <c r="G16" s="9" t="s">
        <v>80</v>
      </c>
      <c r="H16" s="9" t="s">
        <v>81</v>
      </c>
      <c r="I16" s="8" t="str">
        <f aca="false">IF(AND(E16&gt;=$B$3,F16&gt;=$B$3),"Kelola Secara Dekat",IF(E16&gt;=$B$3,"Jaga Kepuasan",IF(F16&gt;=$B$3,"Libatkan &amp; Komunikasi Rutin","Cukup Dimonitor")))</f>
        <v>Jaga Kepuasan</v>
      </c>
      <c r="J16" s="9" t="str">
        <f aca="false">INDEX('Strategi Kuadran'!$D$5:$D$8,MATCH(I16,'Strategi Kuadran'!$A$5:$A$8,0))</f>
        <v>Pastikan harapan mereka terpenuhi tanpa membebani dengan informasi detail; hindari kejutan.</v>
      </c>
      <c r="K16" s="9" t="s">
        <v>82</v>
      </c>
      <c r="L16" s="9" t="s">
        <v>83</v>
      </c>
    </row>
    <row r="17" customFormat="false" ht="105" hidden="false" customHeight="true" outlineLevel="0" collapsed="false">
      <c r="A17" s="7" t="n">
        <v>12</v>
      </c>
      <c r="B17" s="8" t="s">
        <v>84</v>
      </c>
      <c r="C17" s="9" t="s">
        <v>85</v>
      </c>
      <c r="D17" s="9" t="s">
        <v>86</v>
      </c>
      <c r="E17" s="10" t="n">
        <v>2</v>
      </c>
      <c r="F17" s="10" t="n">
        <v>2</v>
      </c>
      <c r="G17" s="9" t="s">
        <v>87</v>
      </c>
      <c r="H17" s="9" t="s">
        <v>88</v>
      </c>
      <c r="I17" s="8" t="str">
        <f aca="false">IF(AND(E17&gt;=$B$3,F17&gt;=$B$3),"Kelola Secara Dekat",IF(E17&gt;=$B$3,"Jaga Kepuasan",IF(F17&gt;=$B$3,"Libatkan &amp; Komunikasi Rutin","Cukup Dimonitor")))</f>
        <v>Cukup Dimonitor</v>
      </c>
      <c r="J17" s="9" t="str">
        <f aca="false">INDEX('Strategi Kuadran'!$D$5:$D$8,MATCH(I17,'Strategi Kuadran'!$A$5:$A$8,0))</f>
        <v>Pantau dengan usaha minimal; naikkan prioritas bila posisinya berubah.</v>
      </c>
      <c r="K17" s="9" t="s">
        <v>89</v>
      </c>
      <c r="L17" s="9" t="s">
        <v>83</v>
      </c>
    </row>
    <row r="19" customFormat="false" ht="45" hidden="false" customHeight="true" outlineLevel="0" collapsed="false">
      <c r="A19" s="5" t="s">
        <v>90</v>
      </c>
      <c r="B19" s="5"/>
      <c r="C19" s="5"/>
      <c r="D19" s="5"/>
      <c r="E19" s="5"/>
      <c r="F19" s="5"/>
      <c r="G19" s="5"/>
      <c r="H19" s="5"/>
      <c r="I19" s="5"/>
      <c r="J19" s="5"/>
    </row>
  </sheetData>
  <mergeCells count="2">
    <mergeCell ref="C3:H3"/>
    <mergeCell ref="A19:J19"/>
  </mergeCells>
  <conditionalFormatting sqref="I6:I17">
    <cfRule type="expression" priority="2" aboveAverage="0" equalAverage="0" bottom="0" percent="0" rank="0" text="" dxfId="0">
      <formula>$I6="Kelola Secara Dekat"</formula>
    </cfRule>
    <cfRule type="expression" priority="3" aboveAverage="0" equalAverage="0" bottom="0" percent="0" rank="0" text="" dxfId="1">
      <formula>$I6="Jaga Kepuasan"</formula>
    </cfRule>
    <cfRule type="expression" priority="4" aboveAverage="0" equalAverage="0" bottom="0" percent="0" rank="0" text="" dxfId="2">
      <formula>$I6="Libatkan &amp; Komunikasi Rutin"</formula>
    </cfRule>
    <cfRule type="expression" priority="5" aboveAverage="0" equalAverage="0" bottom="0" percent="0" rank="0" text="" dxfId="3">
      <formula>$I6="Cukup Dimonitor"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52"/>
    <col collapsed="false" customWidth="true" hidden="false" outlineLevel="0" max="5" min="5" style="0" width="14"/>
    <col collapsed="false" customWidth="true" hidden="false" outlineLevel="0" max="6" min="6" style="0" width="42"/>
    <col collapsed="false" customWidth="true" hidden="false" outlineLevel="0" max="7" min="7" style="0" width="48"/>
  </cols>
  <sheetData>
    <row r="1" customFormat="false" ht="17.35" hidden="false" customHeight="false" outlineLevel="0" collapsed="false">
      <c r="A1" s="1" t="s">
        <v>91</v>
      </c>
    </row>
    <row r="2" customFormat="false" ht="15" hidden="false" customHeight="false" outlineLevel="0" collapsed="false">
      <c r="A2" s="2" t="s">
        <v>92</v>
      </c>
    </row>
    <row r="4" customFormat="false" ht="23.85" hidden="false" customHeight="false" outlineLevel="0" collapsed="false">
      <c r="A4" s="6" t="s">
        <v>93</v>
      </c>
      <c r="B4" s="6" t="s">
        <v>94</v>
      </c>
      <c r="C4" s="6" t="s">
        <v>95</v>
      </c>
      <c r="D4" s="6" t="s">
        <v>96</v>
      </c>
      <c r="E4" s="6" t="s">
        <v>97</v>
      </c>
      <c r="F4" s="6" t="s">
        <v>5</v>
      </c>
      <c r="G4" s="6" t="s">
        <v>98</v>
      </c>
    </row>
    <row r="5" customFormat="false" ht="75" hidden="false" customHeight="true" outlineLevel="0" collapsed="false">
      <c r="A5" s="11" t="s">
        <v>99</v>
      </c>
      <c r="B5" s="9" t="s">
        <v>100</v>
      </c>
      <c r="C5" s="9" t="s">
        <v>101</v>
      </c>
      <c r="D5" s="9" t="s">
        <v>102</v>
      </c>
      <c r="E5" s="7" t="n">
        <f aca="false">COUNTIF('Stakeholder Map'!$I$6:$I$17,A5)</f>
        <v>4</v>
      </c>
      <c r="F5" s="9" t="s">
        <v>103</v>
      </c>
      <c r="G5" s="9" t="s">
        <v>104</v>
      </c>
    </row>
    <row r="6" customFormat="false" ht="75" hidden="false" customHeight="true" outlineLevel="0" collapsed="false">
      <c r="A6" s="12" t="s">
        <v>105</v>
      </c>
      <c r="B6" s="9" t="s">
        <v>106</v>
      </c>
      <c r="C6" s="9" t="s">
        <v>107</v>
      </c>
      <c r="D6" s="9" t="s">
        <v>108</v>
      </c>
      <c r="E6" s="7" t="n">
        <f aca="false">COUNTIF('Stakeholder Map'!$I$6:$I$17,A6)</f>
        <v>2</v>
      </c>
      <c r="F6" s="9" t="s">
        <v>109</v>
      </c>
      <c r="G6" s="9" t="s">
        <v>110</v>
      </c>
    </row>
    <row r="7" customFormat="false" ht="75" hidden="false" customHeight="true" outlineLevel="0" collapsed="false">
      <c r="A7" s="13" t="s">
        <v>111</v>
      </c>
      <c r="B7" s="9" t="s">
        <v>112</v>
      </c>
      <c r="C7" s="9" t="s">
        <v>113</v>
      </c>
      <c r="D7" s="9" t="s">
        <v>114</v>
      </c>
      <c r="E7" s="7" t="n">
        <f aca="false">COUNTIF('Stakeholder Map'!$I$6:$I$17,A7)</f>
        <v>5</v>
      </c>
      <c r="F7" s="9" t="s">
        <v>115</v>
      </c>
      <c r="G7" s="9" t="s">
        <v>116</v>
      </c>
    </row>
    <row r="8" customFormat="false" ht="75" hidden="false" customHeight="true" outlineLevel="0" collapsed="false">
      <c r="A8" s="14" t="s">
        <v>117</v>
      </c>
      <c r="B8" s="9" t="s">
        <v>118</v>
      </c>
      <c r="C8" s="9" t="s">
        <v>119</v>
      </c>
      <c r="D8" s="9" t="s">
        <v>120</v>
      </c>
      <c r="E8" s="7" t="n">
        <f aca="false">COUNTIF('Stakeholder Map'!$I$6:$I$17,A8)</f>
        <v>1</v>
      </c>
      <c r="F8" s="9" t="s">
        <v>84</v>
      </c>
      <c r="G8" s="9" t="s">
        <v>121</v>
      </c>
    </row>
    <row r="9" customFormat="false" ht="15" hidden="false" customHeight="false" outlineLevel="0" collapsed="false">
      <c r="A9" s="3" t="s">
        <v>122</v>
      </c>
      <c r="E9" s="15" t="n">
        <f aca="false">SUM(E5:E8)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6"/>
    <col collapsed="false" customWidth="true" hidden="false" outlineLevel="0" max="7" min="3" style="0" width="26"/>
  </cols>
  <sheetData>
    <row r="1" customFormat="false" ht="17.35" hidden="false" customHeight="false" outlineLevel="0" collapsed="false">
      <c r="A1" s="1" t="s">
        <v>123</v>
      </c>
    </row>
    <row r="2" customFormat="false" ht="15" hidden="false" customHeight="false" outlineLevel="0" collapsed="false">
      <c r="A2" s="2" t="s">
        <v>124</v>
      </c>
    </row>
    <row r="4" customFormat="false" ht="61.5" hidden="false" customHeight="true" outlineLevel="0" collapsed="false">
      <c r="A4" s="16" t="s">
        <v>125</v>
      </c>
      <c r="B4" s="17" t="n">
        <v>5</v>
      </c>
      <c r="C4" s="18"/>
      <c r="D4" s="18"/>
      <c r="E4" s="18"/>
      <c r="F4" s="19" t="s">
        <v>16</v>
      </c>
      <c r="G4" s="19" t="s">
        <v>23</v>
      </c>
    </row>
    <row r="5" customFormat="false" ht="61.5" hidden="false" customHeight="true" outlineLevel="0" collapsed="false">
      <c r="A5" s="16"/>
      <c r="B5" s="17" t="n">
        <v>4</v>
      </c>
      <c r="C5" s="18"/>
      <c r="D5" s="18" t="s">
        <v>126</v>
      </c>
      <c r="E5" s="18" t="s">
        <v>65</v>
      </c>
      <c r="F5" s="19"/>
      <c r="G5" s="19" t="s">
        <v>127</v>
      </c>
    </row>
    <row r="6" customFormat="false" ht="61.5" hidden="false" customHeight="true" outlineLevel="0" collapsed="false">
      <c r="A6" s="16"/>
      <c r="B6" s="17" t="n">
        <v>3</v>
      </c>
      <c r="C6" s="20"/>
      <c r="D6" s="20"/>
      <c r="E6" s="20"/>
      <c r="F6" s="21" t="s">
        <v>128</v>
      </c>
      <c r="G6" s="21" t="s">
        <v>41</v>
      </c>
    </row>
    <row r="7" customFormat="false" ht="61.5" hidden="false" customHeight="true" outlineLevel="0" collapsed="false">
      <c r="A7" s="16"/>
      <c r="B7" s="17" t="n">
        <v>2</v>
      </c>
      <c r="C7" s="20"/>
      <c r="D7" s="20" t="s">
        <v>84</v>
      </c>
      <c r="E7" s="20"/>
      <c r="F7" s="21" t="s">
        <v>71</v>
      </c>
      <c r="G7" s="21" t="s">
        <v>47</v>
      </c>
    </row>
    <row r="8" customFormat="false" ht="61.5" hidden="false" customHeight="true" outlineLevel="0" collapsed="false">
      <c r="A8" s="16"/>
      <c r="B8" s="17" t="n">
        <v>1</v>
      </c>
      <c r="C8" s="20"/>
      <c r="D8" s="20"/>
      <c r="E8" s="20"/>
      <c r="F8" s="21"/>
      <c r="G8" s="21"/>
    </row>
    <row r="9" customFormat="false" ht="15" hidden="false" customHeight="false" outlineLevel="0" collapsed="false">
      <c r="C9" s="15" t="n">
        <v>1</v>
      </c>
      <c r="D9" s="15" t="n">
        <v>2</v>
      </c>
      <c r="E9" s="15" t="n">
        <v>3</v>
      </c>
      <c r="F9" s="15" t="n">
        <v>4</v>
      </c>
      <c r="G9" s="15" t="n">
        <v>5</v>
      </c>
    </row>
    <row r="10" customFormat="false" ht="15" hidden="false" customHeight="false" outlineLevel="0" collapsed="false">
      <c r="C10" s="22" t="s">
        <v>129</v>
      </c>
      <c r="D10" s="22"/>
      <c r="E10" s="22"/>
      <c r="F10" s="22"/>
      <c r="G10" s="22"/>
    </row>
    <row r="12" customFormat="false" ht="15" hidden="false" customHeight="false" outlineLevel="0" collapsed="false">
      <c r="C12" s="23"/>
      <c r="D12" s="24" t="s">
        <v>130</v>
      </c>
    </row>
    <row r="13" customFormat="false" ht="15" hidden="false" customHeight="false" outlineLevel="0" collapsed="false">
      <c r="C13" s="25"/>
      <c r="D13" s="24" t="s">
        <v>131</v>
      </c>
    </row>
    <row r="14" customFormat="false" ht="15" hidden="false" customHeight="false" outlineLevel="0" collapsed="false">
      <c r="C14" s="26"/>
      <c r="D14" s="24" t="s">
        <v>132</v>
      </c>
    </row>
    <row r="15" customFormat="false" ht="15" hidden="false" customHeight="false" outlineLevel="0" collapsed="false">
      <c r="C15" s="27"/>
      <c r="D15" s="24" t="s">
        <v>133</v>
      </c>
    </row>
  </sheetData>
  <mergeCells count="2">
    <mergeCell ref="A4:A8"/>
    <mergeCell ref="C10:G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2026-10-02T02:10:52Z</dcterms:created>
  <dc:creator>openpyxl</dc:creator>
  <dc:description/>
  <dc:language>en-US</dc:language>
  <cp:lastModifiedBy/>
  <dcterms:modified xsi:type="dcterms:W3CDTF">2026-10-02T02:10:52Z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